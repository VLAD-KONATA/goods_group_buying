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"/>
    </mc:Choice>
  </mc:AlternateContent>
  <xr:revisionPtr revIDLastSave="0" documentId="13_ncr:1_{A25EE681-5513-498A-AFC5-EB95EAE80808}" xr6:coauthVersionLast="47" xr6:coauthVersionMax="47" xr10:uidLastSave="{00000000-0000-0000-0000-000000000000}"/>
  <bookViews>
    <workbookView xWindow="0" yWindow="3555" windowWidth="17655" windowHeight="16755" activeTab="1" xr2:uid="{00000000-000D-0000-FFFF-FFFF00000000}"/>
  </bookViews>
  <sheets>
    <sheet name="1.9、1.10扫街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" i="2" l="1"/>
  <c r="Q31" i="2"/>
  <c r="R4" i="2"/>
  <c r="Q5" i="2"/>
  <c r="N18" i="2"/>
  <c r="P18" i="2" s="1"/>
  <c r="N4" i="2"/>
  <c r="P4" i="2" s="1"/>
  <c r="N13" i="2"/>
  <c r="P13" i="2" s="1"/>
  <c r="N7" i="2"/>
  <c r="P7" i="2" s="1"/>
  <c r="N3" i="2"/>
  <c r="P3" i="2" s="1"/>
  <c r="N25" i="2"/>
  <c r="P25" i="2" s="1"/>
  <c r="N24" i="2"/>
  <c r="P24" i="2" s="1"/>
  <c r="N2" i="2"/>
  <c r="P2" i="2" s="1"/>
  <c r="D23" i="2"/>
  <c r="F23" i="2" s="1"/>
  <c r="T13" i="2"/>
  <c r="R19" i="2" s="1"/>
  <c r="T8" i="2"/>
  <c r="T2" i="2"/>
  <c r="Q21" i="2"/>
  <c r="Q11" i="2"/>
  <c r="N28" i="2"/>
  <c r="P28" i="2" s="1"/>
  <c r="N14" i="2"/>
  <c r="P14" i="2" s="1"/>
  <c r="N30" i="2"/>
  <c r="P30" i="2" s="1"/>
  <c r="N26" i="2"/>
  <c r="P26" i="2" s="1"/>
  <c r="N19" i="2"/>
  <c r="P19" i="2" s="1"/>
  <c r="N29" i="2"/>
  <c r="P29" i="2" s="1"/>
  <c r="N17" i="2"/>
  <c r="P17" i="2" s="1"/>
  <c r="N16" i="2"/>
  <c r="P16" i="2" s="1"/>
  <c r="N15" i="2"/>
  <c r="P15" i="2" s="1"/>
  <c r="N27" i="2"/>
  <c r="P27" i="2" s="1"/>
  <c r="N10" i="2"/>
  <c r="P10" i="2" s="1"/>
  <c r="N9" i="2"/>
  <c r="P9" i="2" s="1"/>
  <c r="N8" i="2"/>
  <c r="P8" i="2" s="1"/>
  <c r="N20" i="2"/>
  <c r="P20" i="2" s="1"/>
  <c r="F6" i="2"/>
  <c r="F21" i="2"/>
  <c r="D3" i="2"/>
  <c r="F3" i="2" s="1"/>
  <c r="D4" i="2"/>
  <c r="F4" i="2" s="1"/>
  <c r="D5" i="2"/>
  <c r="F5" i="2" s="1"/>
  <c r="D6" i="2"/>
  <c r="D7" i="2"/>
  <c r="F7" i="2" s="1"/>
  <c r="D8" i="2"/>
  <c r="F8" i="2" s="1"/>
  <c r="D9" i="2"/>
  <c r="F9" i="2" s="1"/>
  <c r="D10" i="2"/>
  <c r="F10" i="2" s="1"/>
  <c r="D11" i="2"/>
  <c r="F11" i="2" s="1"/>
  <c r="D12" i="2"/>
  <c r="F12" i="2" s="1"/>
  <c r="D13" i="2"/>
  <c r="F13" i="2" s="1"/>
  <c r="D14" i="2"/>
  <c r="F14" i="2" s="1"/>
  <c r="D15" i="2"/>
  <c r="F15" i="2" s="1"/>
  <c r="D16" i="2"/>
  <c r="F16" i="2" s="1"/>
  <c r="D17" i="2"/>
  <c r="F17" i="2" s="1"/>
  <c r="D18" i="2"/>
  <c r="F18" i="2" s="1"/>
  <c r="D19" i="2"/>
  <c r="F19" i="2" s="1"/>
  <c r="D20" i="2"/>
  <c r="F20" i="2" s="1"/>
  <c r="D21" i="2"/>
  <c r="D22" i="2"/>
  <c r="F22" i="2" s="1"/>
  <c r="D2" i="2"/>
  <c r="F2" i="2" s="1"/>
  <c r="D15" i="1"/>
  <c r="R14" i="2" l="1"/>
  <c r="R17" i="2"/>
  <c r="R15" i="2"/>
  <c r="R20" i="2"/>
  <c r="R18" i="2"/>
  <c r="R16" i="2"/>
  <c r="P5" i="2"/>
  <c r="R9" i="2"/>
  <c r="P21" i="2"/>
  <c r="R10" i="2"/>
  <c r="R8" i="2"/>
  <c r="R13" i="2"/>
  <c r="R7" i="2"/>
  <c r="P11" i="2"/>
  <c r="R3" i="2" l="1"/>
  <c r="R2" i="2"/>
</calcChain>
</file>

<file path=xl/sharedStrings.xml><?xml version="1.0" encoding="utf-8"?>
<sst xmlns="http://schemas.openxmlformats.org/spreadsheetml/2006/main" count="95" uniqueCount="63">
  <si>
    <t>cn</t>
  </si>
  <si>
    <t>种类</t>
  </si>
  <si>
    <t>粽子</t>
  </si>
  <si>
    <t>蓝色极光透卡3</t>
  </si>
  <si>
    <t>宫羽凌空</t>
  </si>
  <si>
    <t>蓝月亮闪吧唧新一</t>
  </si>
  <si>
    <t>FF</t>
  </si>
  <si>
    <t>魔术师q吧唧伊织</t>
  </si>
  <si>
    <t>橙木</t>
  </si>
  <si>
    <t>蓝月亮闪吧唧伊织</t>
  </si>
  <si>
    <t>萱萱</t>
  </si>
  <si>
    <t>蓝月亮闪吧唧优作</t>
  </si>
  <si>
    <t>蓝月亮闪吧唧红叶</t>
  </si>
  <si>
    <t>魔术师q吧唧兰</t>
  </si>
  <si>
    <t>魔术师q吧唧和叶</t>
  </si>
  <si>
    <t>岁逢</t>
  </si>
  <si>
    <t>魔术师q吧唧平次</t>
  </si>
  <si>
    <t>维云</t>
  </si>
  <si>
    <t>风</t>
  </si>
  <si>
    <t>总价</t>
    <phoneticPr fontId="1" type="noConversion"/>
  </si>
  <si>
    <t>cn</t>
    <phoneticPr fontId="1" type="noConversion"/>
  </si>
  <si>
    <t>单价</t>
    <phoneticPr fontId="1" type="noConversion"/>
  </si>
  <si>
    <t>西柚</t>
    <phoneticPr fontId="1" type="noConversion"/>
  </si>
  <si>
    <t>柯南ed场面写吧唧</t>
    <phoneticPr fontId="1" type="noConversion"/>
  </si>
  <si>
    <t>1.9、1.10扫街肾表</t>
    <phoneticPr fontId="1" type="noConversion"/>
  </si>
  <si>
    <t>日元</t>
  </si>
  <si>
    <t>日元</t>
    <phoneticPr fontId="1" type="noConversion"/>
  </si>
  <si>
    <t>汇率</t>
  </si>
  <si>
    <t>汇率</t>
    <phoneticPr fontId="1" type="noConversion"/>
  </si>
  <si>
    <t>人民币</t>
  </si>
  <si>
    <t>人民币</t>
    <phoneticPr fontId="1" type="noConversion"/>
  </si>
  <si>
    <t>税率</t>
  </si>
  <si>
    <t>税率</t>
    <phoneticPr fontId="1" type="noConversion"/>
  </si>
  <si>
    <t>税</t>
  </si>
  <si>
    <t>税</t>
    <phoneticPr fontId="1" type="noConversion"/>
  </si>
  <si>
    <t>重量</t>
  </si>
  <si>
    <t>重量</t>
    <phoneticPr fontId="1" type="noConversion"/>
  </si>
  <si>
    <t>千速大阪城战国立板</t>
    <phoneticPr fontId="1" type="noConversion"/>
  </si>
  <si>
    <t>佐藤30周年冰箱贴</t>
    <phoneticPr fontId="1" type="noConversion"/>
  </si>
  <si>
    <t>大公街机q立牌</t>
    <phoneticPr fontId="1" type="noConversion"/>
  </si>
  <si>
    <t>30周年初登场方吧唧高佐由美</t>
    <phoneticPr fontId="1" type="noConversion"/>
  </si>
  <si>
    <t>tms日历明信片</t>
    <phoneticPr fontId="1" type="noConversion"/>
  </si>
  <si>
    <t>30周年亚克力拼图高佐x2</t>
    <phoneticPr fontId="1" type="noConversion"/>
  </si>
  <si>
    <t>m25 711文件夹</t>
    <phoneticPr fontId="1" type="noConversion"/>
  </si>
  <si>
    <t>tcg cp set</t>
    <phoneticPr fontId="1" type="noConversion"/>
  </si>
  <si>
    <t>m25明信片+贴纸</t>
    <phoneticPr fontId="1" type="noConversion"/>
  </si>
  <si>
    <t>高佐充气挂件</t>
    <phoneticPr fontId="1" type="noConversion"/>
  </si>
  <si>
    <t>伊莉娜pld</t>
    <phoneticPr fontId="1" type="noConversion"/>
  </si>
  <si>
    <t>乌间pld</t>
    <phoneticPr fontId="1" type="noConversion"/>
  </si>
  <si>
    <t>乌比吧唧8个</t>
    <phoneticPr fontId="1" type="noConversion"/>
  </si>
  <si>
    <t>佐藤樱花毕业q挂件</t>
    <phoneticPr fontId="1" type="noConversion"/>
  </si>
  <si>
    <t>骏河屋set</t>
    <phoneticPr fontId="1" type="noConversion"/>
  </si>
  <si>
    <t>暗杀教室十周年贴纸</t>
    <phoneticPr fontId="1" type="noConversion"/>
  </si>
  <si>
    <t>乌间，乌比长条吧唧</t>
    <phoneticPr fontId="1" type="noConversion"/>
  </si>
  <si>
    <t>乌间，伊莉娜pld</t>
    <phoneticPr fontId="1" type="noConversion"/>
  </si>
  <si>
    <t>乌比pld+吧唧</t>
    <phoneticPr fontId="1" type="noConversion"/>
  </si>
  <si>
    <t>乌比绘马</t>
    <phoneticPr fontId="1" type="noConversion"/>
  </si>
  <si>
    <t>佐藤举枪古早plaza</t>
  </si>
  <si>
    <t>佐藤举枪古早plaza</t>
    <phoneticPr fontId="1" type="noConversion"/>
  </si>
  <si>
    <t>平均国际</t>
    <phoneticPr fontId="1" type="noConversion"/>
  </si>
  <si>
    <t>总国际（日元）</t>
    <phoneticPr fontId="1" type="noConversion"/>
  </si>
  <si>
    <t>总国际（人民币）</t>
    <phoneticPr fontId="1" type="noConversion"/>
  </si>
  <si>
    <t>重悟大阪城战国立板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</si>
</sst>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34" sqref="E34"/>
    </sheetView>
  </sheetViews>
  <sheetFormatPr defaultRowHeight="14.25" x14ac:dyDescent="0.2"/>
  <cols>
    <col min="2" max="2" width="17.25" bestFit="1" customWidth="1"/>
  </cols>
  <sheetData>
    <row r="1" spans="1:5" x14ac:dyDescent="0.2">
      <c r="A1" s="11" t="s">
        <v>24</v>
      </c>
      <c r="B1" s="12"/>
      <c r="C1" s="12"/>
      <c r="D1" s="12"/>
      <c r="E1" s="12"/>
    </row>
    <row r="2" spans="1:5" x14ac:dyDescent="0.2">
      <c r="A2" s="3" t="s">
        <v>0</v>
      </c>
      <c r="B2" s="4" t="s">
        <v>1</v>
      </c>
      <c r="C2" s="5" t="s">
        <v>21</v>
      </c>
      <c r="D2" s="4" t="s">
        <v>19</v>
      </c>
      <c r="E2" s="4" t="s">
        <v>20</v>
      </c>
    </row>
    <row r="3" spans="1:5" x14ac:dyDescent="0.2">
      <c r="A3" s="2" t="s">
        <v>2</v>
      </c>
      <c r="B3" s="1" t="s">
        <v>3</v>
      </c>
      <c r="C3" s="1">
        <v>9</v>
      </c>
      <c r="D3" s="6">
        <v>27</v>
      </c>
      <c r="E3" s="2" t="s">
        <v>2</v>
      </c>
    </row>
    <row r="4" spans="1:5" x14ac:dyDescent="0.2">
      <c r="A4" s="2" t="s">
        <v>4</v>
      </c>
      <c r="B4" s="1" t="s">
        <v>5</v>
      </c>
      <c r="C4" s="1">
        <v>4.8</v>
      </c>
      <c r="D4" s="6">
        <v>4.8</v>
      </c>
      <c r="E4" s="2" t="s">
        <v>4</v>
      </c>
    </row>
    <row r="5" spans="1:5" x14ac:dyDescent="0.2">
      <c r="A5" s="2" t="s">
        <v>6</v>
      </c>
      <c r="B5" s="1" t="s">
        <v>7</v>
      </c>
      <c r="C5" s="1">
        <v>4.9000000000000004</v>
      </c>
      <c r="D5" s="6">
        <v>4.9000000000000004</v>
      </c>
      <c r="E5" s="2" t="s">
        <v>6</v>
      </c>
    </row>
    <row r="6" spans="1:5" x14ac:dyDescent="0.2">
      <c r="A6" s="2" t="s">
        <v>8</v>
      </c>
      <c r="B6" s="1" t="s">
        <v>9</v>
      </c>
      <c r="C6" s="1">
        <v>4.8</v>
      </c>
      <c r="D6" s="6">
        <v>4.8</v>
      </c>
      <c r="E6" s="2" t="s">
        <v>8</v>
      </c>
    </row>
    <row r="7" spans="1:5" x14ac:dyDescent="0.2">
      <c r="A7" s="8" t="s">
        <v>10</v>
      </c>
      <c r="B7" s="1" t="s">
        <v>11</v>
      </c>
      <c r="C7" s="1">
        <v>4.8</v>
      </c>
      <c r="D7" s="13">
        <v>19.399999999999999</v>
      </c>
      <c r="E7" s="8" t="s">
        <v>10</v>
      </c>
    </row>
    <row r="8" spans="1:5" x14ac:dyDescent="0.2">
      <c r="A8" s="9"/>
      <c r="B8" s="1" t="s">
        <v>12</v>
      </c>
      <c r="C8" s="1">
        <v>4.8</v>
      </c>
      <c r="D8" s="14"/>
      <c r="E8" s="9"/>
    </row>
    <row r="9" spans="1:5" x14ac:dyDescent="0.2">
      <c r="A9" s="9"/>
      <c r="B9" s="1" t="s">
        <v>13</v>
      </c>
      <c r="C9" s="1">
        <v>4.9000000000000004</v>
      </c>
      <c r="D9" s="14"/>
      <c r="E9" s="9"/>
    </row>
    <row r="10" spans="1:5" x14ac:dyDescent="0.2">
      <c r="A10" s="10"/>
      <c r="B10" s="1" t="s">
        <v>14</v>
      </c>
      <c r="C10" s="1">
        <v>4.9000000000000004</v>
      </c>
      <c r="D10" s="15"/>
      <c r="E10" s="10"/>
    </row>
    <row r="11" spans="1:5" x14ac:dyDescent="0.2">
      <c r="A11" s="2" t="s">
        <v>15</v>
      </c>
      <c r="B11" s="1" t="s">
        <v>16</v>
      </c>
      <c r="C11" s="1">
        <v>4.9000000000000004</v>
      </c>
      <c r="D11" s="6">
        <v>4.9000000000000004</v>
      </c>
      <c r="E11" s="2" t="s">
        <v>15</v>
      </c>
    </row>
    <row r="12" spans="1:5" x14ac:dyDescent="0.2">
      <c r="A12" s="2" t="s">
        <v>17</v>
      </c>
      <c r="B12" s="1" t="s">
        <v>14</v>
      </c>
      <c r="C12" s="1">
        <v>4.9000000000000004</v>
      </c>
      <c r="D12" s="6">
        <v>4.9000000000000004</v>
      </c>
      <c r="E12" s="2" t="s">
        <v>17</v>
      </c>
    </row>
    <row r="13" spans="1:5" x14ac:dyDescent="0.2">
      <c r="A13" s="2" t="s">
        <v>18</v>
      </c>
      <c r="B13" s="1" t="s">
        <v>11</v>
      </c>
      <c r="C13" s="1">
        <v>4.8</v>
      </c>
      <c r="D13" s="6">
        <v>4.8</v>
      </c>
      <c r="E13" s="2" t="s">
        <v>18</v>
      </c>
    </row>
    <row r="14" spans="1:5" x14ac:dyDescent="0.2">
      <c r="A14" s="2" t="s">
        <v>22</v>
      </c>
      <c r="B14" s="1" t="s">
        <v>23</v>
      </c>
      <c r="C14" s="1">
        <v>2</v>
      </c>
      <c r="D14" s="6">
        <v>2</v>
      </c>
      <c r="E14" s="2" t="s">
        <v>22</v>
      </c>
    </row>
    <row r="15" spans="1:5" x14ac:dyDescent="0.2">
      <c r="D15" s="7">
        <f>SUM(D3:D14)</f>
        <v>77.5</v>
      </c>
    </row>
  </sheetData>
  <mergeCells count="4">
    <mergeCell ref="A7:A10"/>
    <mergeCell ref="A1:E1"/>
    <mergeCell ref="E7:E10"/>
    <mergeCell ref="D7:D1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B64E-FF53-4490-8854-53438CC5C316}">
  <dimension ref="A1:T31"/>
  <sheetViews>
    <sheetView tabSelected="1" topLeftCell="K1" workbookViewId="0">
      <selection activeCell="S21" sqref="S21"/>
    </sheetView>
  </sheetViews>
  <sheetFormatPr defaultRowHeight="14.25" x14ac:dyDescent="0.2"/>
  <cols>
    <col min="1" max="1" width="19.25" bestFit="1" customWidth="1"/>
    <col min="10" max="11" width="27.75" bestFit="1" customWidth="1"/>
    <col min="18" max="18" width="12.75" bestFit="1" customWidth="1"/>
    <col min="19" max="19" width="15.125" bestFit="1" customWidth="1"/>
    <col min="20" max="20" width="17.25" bestFit="1" customWidth="1"/>
  </cols>
  <sheetData>
    <row r="1" spans="1:20" x14ac:dyDescent="0.2">
      <c r="B1" t="s">
        <v>26</v>
      </c>
      <c r="C1" t="s">
        <v>28</v>
      </c>
      <c r="D1" t="s">
        <v>30</v>
      </c>
      <c r="E1" t="s">
        <v>32</v>
      </c>
      <c r="F1" t="s">
        <v>34</v>
      </c>
      <c r="G1" t="s">
        <v>36</v>
      </c>
      <c r="L1" t="s">
        <v>25</v>
      </c>
      <c r="M1" t="s">
        <v>27</v>
      </c>
      <c r="N1" t="s">
        <v>29</v>
      </c>
      <c r="O1" t="s">
        <v>31</v>
      </c>
      <c r="P1" t="s">
        <v>33</v>
      </c>
      <c r="Q1" t="s">
        <v>35</v>
      </c>
      <c r="R1" t="s">
        <v>59</v>
      </c>
      <c r="S1" t="s">
        <v>60</v>
      </c>
      <c r="T1" t="s">
        <v>61</v>
      </c>
    </row>
    <row r="2" spans="1:20" x14ac:dyDescent="0.2">
      <c r="A2" t="s">
        <v>37</v>
      </c>
      <c r="B2">
        <v>1400</v>
      </c>
      <c r="C2">
        <v>4.4999999999999998E-2</v>
      </c>
      <c r="D2">
        <f>ROUND(B2*C2,2)</f>
        <v>63</v>
      </c>
      <c r="E2">
        <v>0.2</v>
      </c>
      <c r="F2">
        <f>ROUND(D2*E2,2)</f>
        <v>12.6</v>
      </c>
      <c r="G2">
        <v>40</v>
      </c>
      <c r="K2" t="s">
        <v>57</v>
      </c>
      <c r="L2">
        <v>3000</v>
      </c>
      <c r="M2">
        <v>4.4999999999999998E-2</v>
      </c>
      <c r="N2">
        <f t="shared" ref="N2" si="0">ROUND(L2*M2,2)</f>
        <v>135</v>
      </c>
      <c r="O2">
        <v>0.2</v>
      </c>
      <c r="P2">
        <f t="shared" ref="P2" si="1">ROUND(N2*O2,2)</f>
        <v>27</v>
      </c>
      <c r="Q2">
        <v>25</v>
      </c>
      <c r="R2">
        <f>$T$2/$Q$5*Q2</f>
        <v>9.9642857142857153</v>
      </c>
      <c r="S2">
        <v>930</v>
      </c>
      <c r="T2">
        <f>S2*$M$2</f>
        <v>41.85</v>
      </c>
    </row>
    <row r="3" spans="1:20" x14ac:dyDescent="0.2">
      <c r="A3" t="s">
        <v>38</v>
      </c>
      <c r="B3">
        <v>500</v>
      </c>
      <c r="C3">
        <v>4.4999999999999998E-2</v>
      </c>
      <c r="D3">
        <f t="shared" ref="D3:D22" si="2">ROUND(B3*C3,2)</f>
        <v>22.5</v>
      </c>
      <c r="E3">
        <v>0.2</v>
      </c>
      <c r="F3">
        <f t="shared" ref="F3:F22" si="3">ROUND(D3*E3,2)</f>
        <v>4.5</v>
      </c>
      <c r="G3">
        <v>45</v>
      </c>
      <c r="K3" t="s">
        <v>42</v>
      </c>
      <c r="L3">
        <v>1777</v>
      </c>
      <c r="M3">
        <v>4.4999999999999998E-2</v>
      </c>
      <c r="N3">
        <f t="shared" ref="N3" si="4">ROUND(L3*M3,2)</f>
        <v>79.97</v>
      </c>
      <c r="O3">
        <v>0.2</v>
      </c>
      <c r="P3">
        <f t="shared" ref="P3" si="5">ROUND(N3*O3,2)</f>
        <v>15.99</v>
      </c>
      <c r="Q3">
        <v>40</v>
      </c>
      <c r="R3">
        <f>$T$2/$Q$5*Q3</f>
        <v>15.942857142857143</v>
      </c>
    </row>
    <row r="4" spans="1:20" x14ac:dyDescent="0.2">
      <c r="A4" t="s">
        <v>39</v>
      </c>
      <c r="B4">
        <v>1188</v>
      </c>
      <c r="C4">
        <v>4.4999999999999998E-2</v>
      </c>
      <c r="D4">
        <f t="shared" si="2"/>
        <v>53.46</v>
      </c>
      <c r="E4">
        <v>0.2</v>
      </c>
      <c r="F4">
        <f t="shared" si="3"/>
        <v>10.69</v>
      </c>
      <c r="G4">
        <v>40</v>
      </c>
      <c r="K4" t="s">
        <v>62</v>
      </c>
      <c r="L4">
        <v>666</v>
      </c>
      <c r="M4">
        <v>4.4999999999999998E-2</v>
      </c>
      <c r="N4">
        <f>ROUND(L4*M4,2)</f>
        <v>29.97</v>
      </c>
      <c r="O4">
        <v>0.2</v>
      </c>
      <c r="P4">
        <f>ROUND(N4*O4,2)</f>
        <v>5.99</v>
      </c>
      <c r="Q4">
        <v>40</v>
      </c>
      <c r="R4">
        <f>$T$2/$Q$5*Q4</f>
        <v>15.942857142857143</v>
      </c>
    </row>
    <row r="5" spans="1:20" x14ac:dyDescent="0.2">
      <c r="A5" t="s">
        <v>40</v>
      </c>
      <c r="B5">
        <v>777</v>
      </c>
      <c r="C5">
        <v>4.4999999999999998E-2</v>
      </c>
      <c r="D5">
        <f t="shared" si="2"/>
        <v>34.97</v>
      </c>
      <c r="E5">
        <v>0.2</v>
      </c>
      <c r="F5">
        <f t="shared" si="3"/>
        <v>6.99</v>
      </c>
      <c r="G5">
        <v>55</v>
      </c>
      <c r="P5">
        <f>SUM(P2:P4)</f>
        <v>48.980000000000004</v>
      </c>
      <c r="Q5">
        <f>SUM(Q2:Q4)</f>
        <v>105</v>
      </c>
    </row>
    <row r="6" spans="1:20" x14ac:dyDescent="0.2">
      <c r="A6" t="s">
        <v>41</v>
      </c>
      <c r="B6">
        <v>500</v>
      </c>
      <c r="C6">
        <v>4.4999999999999998E-2</v>
      </c>
      <c r="D6">
        <f t="shared" si="2"/>
        <v>22.5</v>
      </c>
      <c r="E6">
        <v>0.13</v>
      </c>
      <c r="F6">
        <f t="shared" si="3"/>
        <v>2.93</v>
      </c>
      <c r="G6">
        <v>24</v>
      </c>
    </row>
    <row r="7" spans="1:20" x14ac:dyDescent="0.2">
      <c r="A7" t="s">
        <v>42</v>
      </c>
      <c r="B7">
        <v>1777</v>
      </c>
      <c r="C7">
        <v>4.4999999999999998E-2</v>
      </c>
      <c r="D7">
        <f t="shared" si="2"/>
        <v>79.97</v>
      </c>
      <c r="E7">
        <v>0.2</v>
      </c>
      <c r="F7">
        <f t="shared" si="3"/>
        <v>15.99</v>
      </c>
      <c r="G7">
        <v>40</v>
      </c>
      <c r="K7" t="s">
        <v>51</v>
      </c>
      <c r="L7">
        <v>2550</v>
      </c>
      <c r="M7">
        <v>4.4999999999999998E-2</v>
      </c>
      <c r="N7">
        <f t="shared" ref="N7" si="6">ROUND(L7*M7,2)</f>
        <v>114.75</v>
      </c>
      <c r="O7">
        <v>0.2</v>
      </c>
      <c r="P7">
        <f t="shared" ref="P7" si="7">ROUND(N7*O7,2)</f>
        <v>22.95</v>
      </c>
      <c r="Q7">
        <v>580</v>
      </c>
      <c r="R7">
        <f>$T$8/$Q$11*Q7</f>
        <v>43.118421052631575</v>
      </c>
    </row>
    <row r="8" spans="1:20" x14ac:dyDescent="0.2">
      <c r="A8" t="s">
        <v>43</v>
      </c>
      <c r="B8">
        <v>600</v>
      </c>
      <c r="C8">
        <v>4.4999999999999998E-2</v>
      </c>
      <c r="D8">
        <f t="shared" si="2"/>
        <v>27</v>
      </c>
      <c r="E8">
        <v>0.2</v>
      </c>
      <c r="F8">
        <f t="shared" si="3"/>
        <v>5.4</v>
      </c>
      <c r="G8">
        <v>170</v>
      </c>
      <c r="K8" t="s">
        <v>39</v>
      </c>
      <c r="L8">
        <v>1188</v>
      </c>
      <c r="M8">
        <v>4.4999999999999998E-2</v>
      </c>
      <c r="N8">
        <f t="shared" ref="N8:N9" si="8">ROUND(L8*M8,2)</f>
        <v>53.46</v>
      </c>
      <c r="O8">
        <v>0.2</v>
      </c>
      <c r="P8">
        <f t="shared" ref="P8:P9" si="9">ROUND(N8*O8,2)</f>
        <v>10.69</v>
      </c>
      <c r="Q8">
        <v>40</v>
      </c>
      <c r="R8">
        <f>$T$8/$Q$11*Q8</f>
        <v>2.9736842105263155</v>
      </c>
      <c r="S8">
        <v>1130</v>
      </c>
      <c r="T8">
        <f>S8*$M$2</f>
        <v>50.85</v>
      </c>
    </row>
    <row r="9" spans="1:20" x14ac:dyDescent="0.2">
      <c r="A9" t="s">
        <v>44</v>
      </c>
      <c r="B9">
        <v>350</v>
      </c>
      <c r="C9">
        <v>4.4999999999999998E-2</v>
      </c>
      <c r="D9">
        <f t="shared" si="2"/>
        <v>15.75</v>
      </c>
      <c r="E9">
        <v>0.13</v>
      </c>
      <c r="F9">
        <f t="shared" si="3"/>
        <v>2.0499999999999998</v>
      </c>
      <c r="G9">
        <v>20</v>
      </c>
      <c r="K9" t="s">
        <v>41</v>
      </c>
      <c r="L9">
        <v>500</v>
      </c>
      <c r="M9">
        <v>4.4999999999999998E-2</v>
      </c>
      <c r="N9">
        <f t="shared" si="8"/>
        <v>22.5</v>
      </c>
      <c r="O9">
        <v>0.13</v>
      </c>
      <c r="P9">
        <f t="shared" si="9"/>
        <v>2.93</v>
      </c>
      <c r="Q9">
        <v>24</v>
      </c>
      <c r="R9">
        <f>$T$8/$Q$11*Q9</f>
        <v>1.7842105263157895</v>
      </c>
    </row>
    <row r="10" spans="1:20" x14ac:dyDescent="0.2">
      <c r="A10" t="s">
        <v>45</v>
      </c>
      <c r="B10">
        <v>1111</v>
      </c>
      <c r="C10">
        <v>4.4999999999999998E-2</v>
      </c>
      <c r="D10">
        <f t="shared" si="2"/>
        <v>50</v>
      </c>
      <c r="E10">
        <v>0.13</v>
      </c>
      <c r="F10">
        <f t="shared" si="3"/>
        <v>6.5</v>
      </c>
      <c r="G10">
        <v>92</v>
      </c>
      <c r="K10" t="s">
        <v>37</v>
      </c>
      <c r="L10">
        <v>1400</v>
      </c>
      <c r="M10">
        <v>4.4999999999999998E-2</v>
      </c>
      <c r="N10">
        <f>ROUND(L10*M10,2)</f>
        <v>63</v>
      </c>
      <c r="O10">
        <v>0.2</v>
      </c>
      <c r="P10">
        <f>ROUND(N10*O10,2)</f>
        <v>12.6</v>
      </c>
      <c r="Q10">
        <v>40</v>
      </c>
      <c r="R10">
        <f>$T$8/$Q$11*Q10</f>
        <v>2.9736842105263155</v>
      </c>
    </row>
    <row r="11" spans="1:20" x14ac:dyDescent="0.2">
      <c r="A11" t="s">
        <v>46</v>
      </c>
      <c r="B11">
        <v>580</v>
      </c>
      <c r="C11">
        <v>4.4999999999999998E-2</v>
      </c>
      <c r="D11">
        <f t="shared" si="2"/>
        <v>26.1</v>
      </c>
      <c r="E11">
        <v>0.2</v>
      </c>
      <c r="F11">
        <f t="shared" si="3"/>
        <v>5.22</v>
      </c>
      <c r="G11">
        <v>24</v>
      </c>
      <c r="P11">
        <f>SUM(P7:P10)</f>
        <v>49.17</v>
      </c>
      <c r="Q11">
        <f>SUM(Q7:Q10)</f>
        <v>684</v>
      </c>
    </row>
    <row r="12" spans="1:20" x14ac:dyDescent="0.2">
      <c r="A12" t="s">
        <v>47</v>
      </c>
      <c r="B12">
        <v>333</v>
      </c>
      <c r="C12">
        <v>4.4999999999999998E-2</v>
      </c>
      <c r="D12">
        <f t="shared" si="2"/>
        <v>14.99</v>
      </c>
      <c r="E12">
        <v>0.13</v>
      </c>
      <c r="F12">
        <f t="shared" si="3"/>
        <v>1.95</v>
      </c>
      <c r="G12">
        <v>10</v>
      </c>
    </row>
    <row r="13" spans="1:20" x14ac:dyDescent="0.2">
      <c r="A13" t="s">
        <v>48</v>
      </c>
      <c r="B13">
        <v>333</v>
      </c>
      <c r="C13">
        <v>4.4999999999999998E-2</v>
      </c>
      <c r="D13">
        <f t="shared" si="2"/>
        <v>14.99</v>
      </c>
      <c r="E13">
        <v>0.13</v>
      </c>
      <c r="F13">
        <f t="shared" si="3"/>
        <v>1.95</v>
      </c>
      <c r="G13">
        <v>10</v>
      </c>
      <c r="K13" t="s">
        <v>55</v>
      </c>
      <c r="L13">
        <v>1299</v>
      </c>
      <c r="M13">
        <v>4.4999999999999998E-2</v>
      </c>
      <c r="N13">
        <f t="shared" ref="N13" si="10">ROUND(L13*M13,2)</f>
        <v>58.46</v>
      </c>
      <c r="O13">
        <v>0.2</v>
      </c>
      <c r="P13">
        <f t="shared" ref="P13" si="11">ROUND(N13*O13,2)</f>
        <v>11.69</v>
      </c>
      <c r="Q13">
        <v>50</v>
      </c>
      <c r="R13">
        <f>$T$13/$Q$21*Q13</f>
        <v>7.0794392523364476</v>
      </c>
      <c r="S13">
        <v>1010</v>
      </c>
      <c r="T13">
        <f>S13*$M$2</f>
        <v>45.449999999999996</v>
      </c>
    </row>
    <row r="14" spans="1:20" x14ac:dyDescent="0.2">
      <c r="A14" t="s">
        <v>49</v>
      </c>
      <c r="B14">
        <v>1222</v>
      </c>
      <c r="C14">
        <v>4.4999999999999998E-2</v>
      </c>
      <c r="D14">
        <f t="shared" si="2"/>
        <v>54.99</v>
      </c>
      <c r="E14">
        <v>0.2</v>
      </c>
      <c r="F14">
        <f t="shared" si="3"/>
        <v>11</v>
      </c>
      <c r="G14">
        <v>105</v>
      </c>
      <c r="K14" t="s">
        <v>46</v>
      </c>
      <c r="L14">
        <v>580</v>
      </c>
      <c r="M14">
        <v>4.4999999999999998E-2</v>
      </c>
      <c r="N14">
        <f>ROUND(L14*M14,2)</f>
        <v>26.1</v>
      </c>
      <c r="O14">
        <v>0.2</v>
      </c>
      <c r="P14">
        <f>ROUND(N14*O14,2)</f>
        <v>5.22</v>
      </c>
      <c r="Q14">
        <v>24</v>
      </c>
      <c r="R14">
        <f>$T$13/$Q$21*Q14</f>
        <v>3.3981308411214948</v>
      </c>
    </row>
    <row r="15" spans="1:20" x14ac:dyDescent="0.2">
      <c r="A15" t="s">
        <v>50</v>
      </c>
      <c r="B15">
        <v>555</v>
      </c>
      <c r="C15">
        <v>4.4999999999999998E-2</v>
      </c>
      <c r="D15">
        <f t="shared" si="2"/>
        <v>24.98</v>
      </c>
      <c r="E15">
        <v>0.2</v>
      </c>
      <c r="F15">
        <f t="shared" si="3"/>
        <v>5</v>
      </c>
      <c r="G15">
        <v>22</v>
      </c>
      <c r="K15" t="s">
        <v>40</v>
      </c>
      <c r="L15">
        <v>777</v>
      </c>
      <c r="M15">
        <v>4.4999999999999998E-2</v>
      </c>
      <c r="N15">
        <f t="shared" ref="N15:N19" si="12">ROUND(L15*M15,2)</f>
        <v>34.97</v>
      </c>
      <c r="O15">
        <v>0.2</v>
      </c>
      <c r="P15">
        <f t="shared" ref="P15:P19" si="13">ROUND(N15*O15,2)</f>
        <v>6.99</v>
      </c>
      <c r="Q15">
        <v>55</v>
      </c>
      <c r="R15">
        <f>$T$13/$Q$21*Q15</f>
        <v>7.7873831775700921</v>
      </c>
    </row>
    <row r="16" spans="1:20" x14ac:dyDescent="0.2">
      <c r="A16" t="s">
        <v>51</v>
      </c>
      <c r="B16">
        <v>2550</v>
      </c>
      <c r="C16">
        <v>4.4999999999999998E-2</v>
      </c>
      <c r="D16">
        <f t="shared" si="2"/>
        <v>114.75</v>
      </c>
      <c r="E16">
        <v>0.2</v>
      </c>
      <c r="F16">
        <f t="shared" si="3"/>
        <v>22.95</v>
      </c>
      <c r="G16">
        <v>580</v>
      </c>
      <c r="K16" t="s">
        <v>53</v>
      </c>
      <c r="L16">
        <v>699</v>
      </c>
      <c r="M16">
        <v>4.4999999999999998E-2</v>
      </c>
      <c r="N16">
        <f t="shared" si="12"/>
        <v>31.46</v>
      </c>
      <c r="O16">
        <v>0.2</v>
      </c>
      <c r="P16">
        <f t="shared" si="13"/>
        <v>6.29</v>
      </c>
      <c r="Q16">
        <v>30</v>
      </c>
      <c r="R16">
        <f>$T$13/$Q$21*Q16</f>
        <v>4.2476635514018684</v>
      </c>
    </row>
    <row r="17" spans="1:18" x14ac:dyDescent="0.2">
      <c r="A17" t="s">
        <v>52</v>
      </c>
      <c r="B17">
        <v>333</v>
      </c>
      <c r="C17">
        <v>4.4999999999999998E-2</v>
      </c>
      <c r="D17">
        <f t="shared" si="2"/>
        <v>14.99</v>
      </c>
      <c r="E17">
        <v>0.13</v>
      </c>
      <c r="F17">
        <f t="shared" si="3"/>
        <v>1.95</v>
      </c>
      <c r="G17">
        <v>20</v>
      </c>
      <c r="K17" t="s">
        <v>45</v>
      </c>
      <c r="L17">
        <v>1111</v>
      </c>
      <c r="M17">
        <v>4.4999999999999998E-2</v>
      </c>
      <c r="N17">
        <f t="shared" si="12"/>
        <v>50</v>
      </c>
      <c r="O17">
        <v>0.13</v>
      </c>
      <c r="P17">
        <f t="shared" si="13"/>
        <v>6.5</v>
      </c>
      <c r="Q17">
        <v>92</v>
      </c>
      <c r="R17">
        <f>$T$13/$Q$21*Q17</f>
        <v>13.026168224299063</v>
      </c>
    </row>
    <row r="18" spans="1:18" x14ac:dyDescent="0.2">
      <c r="A18" t="s">
        <v>53</v>
      </c>
      <c r="B18">
        <v>699</v>
      </c>
      <c r="C18">
        <v>4.4999999999999998E-2</v>
      </c>
      <c r="D18">
        <f t="shared" si="2"/>
        <v>31.46</v>
      </c>
      <c r="E18">
        <v>0.2</v>
      </c>
      <c r="F18">
        <f t="shared" si="3"/>
        <v>6.29</v>
      </c>
      <c r="G18">
        <v>30</v>
      </c>
      <c r="K18" t="s">
        <v>38</v>
      </c>
      <c r="L18">
        <v>500</v>
      </c>
      <c r="M18">
        <v>4.4999999999999998E-2</v>
      </c>
      <c r="N18">
        <f t="shared" ref="N18" si="14">ROUND(L18*M18,2)</f>
        <v>22.5</v>
      </c>
      <c r="O18">
        <v>0.2</v>
      </c>
      <c r="P18">
        <f t="shared" ref="P18" si="15">ROUND(N18*O18,2)</f>
        <v>4.5</v>
      </c>
      <c r="Q18">
        <v>45</v>
      </c>
      <c r="R18">
        <f>$T$13/$Q$21*Q18</f>
        <v>6.371495327102803</v>
      </c>
    </row>
    <row r="19" spans="1:18" x14ac:dyDescent="0.2">
      <c r="A19" t="s">
        <v>54</v>
      </c>
      <c r="B19">
        <v>333</v>
      </c>
      <c r="C19">
        <v>4.4999999999999998E-2</v>
      </c>
      <c r="D19">
        <f t="shared" si="2"/>
        <v>14.99</v>
      </c>
      <c r="E19">
        <v>0.13</v>
      </c>
      <c r="F19">
        <f t="shared" si="3"/>
        <v>1.95</v>
      </c>
      <c r="G19">
        <v>15</v>
      </c>
      <c r="K19" t="s">
        <v>56</v>
      </c>
      <c r="L19">
        <v>599</v>
      </c>
      <c r="M19">
        <v>4.4999999999999998E-2</v>
      </c>
      <c r="N19">
        <f t="shared" si="12"/>
        <v>26.96</v>
      </c>
      <c r="O19">
        <v>0.2</v>
      </c>
      <c r="P19">
        <f t="shared" si="13"/>
        <v>5.39</v>
      </c>
      <c r="Q19">
        <v>5</v>
      </c>
      <c r="R19">
        <f>$T$13/$Q$21*Q19</f>
        <v>0.7079439252336448</v>
      </c>
    </row>
    <row r="20" spans="1:18" x14ac:dyDescent="0.2">
      <c r="A20" t="s">
        <v>55</v>
      </c>
      <c r="B20">
        <v>1299</v>
      </c>
      <c r="C20">
        <v>4.4999999999999998E-2</v>
      </c>
      <c r="D20">
        <f t="shared" si="2"/>
        <v>58.46</v>
      </c>
      <c r="E20">
        <v>0.2</v>
      </c>
      <c r="F20">
        <f t="shared" si="3"/>
        <v>11.69</v>
      </c>
      <c r="G20">
        <v>50</v>
      </c>
      <c r="K20" t="s">
        <v>44</v>
      </c>
      <c r="L20">
        <v>350</v>
      </c>
      <c r="M20">
        <v>4.4999999999999998E-2</v>
      </c>
      <c r="N20">
        <f>ROUND(L20*M20,2)</f>
        <v>15.75</v>
      </c>
      <c r="O20">
        <v>0.13</v>
      </c>
      <c r="P20">
        <f>ROUND(N20*O20,2)</f>
        <v>2.0499999999999998</v>
      </c>
      <c r="Q20">
        <v>20</v>
      </c>
      <c r="R20">
        <f>$T$13/$Q$21*Q20</f>
        <v>2.8317757009345792</v>
      </c>
    </row>
    <row r="21" spans="1:18" x14ac:dyDescent="0.2">
      <c r="A21" t="s">
        <v>56</v>
      </c>
      <c r="B21">
        <v>599</v>
      </c>
      <c r="C21">
        <v>4.4999999999999998E-2</v>
      </c>
      <c r="D21">
        <f t="shared" si="2"/>
        <v>26.96</v>
      </c>
      <c r="E21">
        <v>0.2</v>
      </c>
      <c r="F21">
        <f t="shared" si="3"/>
        <v>5.39</v>
      </c>
      <c r="G21">
        <v>5</v>
      </c>
      <c r="P21">
        <f>SUM(P13:P20)</f>
        <v>48.629999999999995</v>
      </c>
      <c r="Q21">
        <f>SUM(Q13:Q20)</f>
        <v>321</v>
      </c>
    </row>
    <row r="22" spans="1:18" x14ac:dyDescent="0.2">
      <c r="A22" t="s">
        <v>58</v>
      </c>
      <c r="B22">
        <v>3000</v>
      </c>
      <c r="C22">
        <v>4.4999999999999998E-2</v>
      </c>
      <c r="D22">
        <f t="shared" si="2"/>
        <v>135</v>
      </c>
      <c r="E22">
        <v>0.2</v>
      </c>
      <c r="F22">
        <f t="shared" si="3"/>
        <v>27</v>
      </c>
      <c r="G22">
        <v>25</v>
      </c>
    </row>
    <row r="23" spans="1:18" x14ac:dyDescent="0.2">
      <c r="A23" t="s">
        <v>62</v>
      </c>
      <c r="B23">
        <v>666</v>
      </c>
      <c r="C23">
        <v>4.4999999999999998E-2</v>
      </c>
      <c r="D23">
        <f>ROUND(B23*C23,2)</f>
        <v>29.97</v>
      </c>
      <c r="E23">
        <v>0.2</v>
      </c>
      <c r="F23">
        <f>ROUND(D23*E23,2)</f>
        <v>5.99</v>
      </c>
    </row>
    <row r="24" spans="1:18" x14ac:dyDescent="0.2">
      <c r="K24" t="s">
        <v>54</v>
      </c>
      <c r="L24">
        <v>333</v>
      </c>
      <c r="M24">
        <v>4.4999999999999998E-2</v>
      </c>
      <c r="N24">
        <f>ROUND(L24*M24,2)</f>
        <v>14.99</v>
      </c>
      <c r="O24">
        <v>0.13</v>
      </c>
      <c r="P24">
        <f>ROUND(N24*O24,2)</f>
        <v>1.95</v>
      </c>
      <c r="Q24">
        <v>15</v>
      </c>
    </row>
    <row r="25" spans="1:18" x14ac:dyDescent="0.2">
      <c r="K25" t="s">
        <v>43</v>
      </c>
      <c r="L25">
        <v>600</v>
      </c>
      <c r="M25">
        <v>4.4999999999999998E-2</v>
      </c>
      <c r="N25">
        <f>ROUND(L25*M25,2)</f>
        <v>27</v>
      </c>
      <c r="O25">
        <v>0.2</v>
      </c>
      <c r="P25">
        <f>ROUND(N25*O25,2)</f>
        <v>5.4</v>
      </c>
      <c r="Q25">
        <v>170</v>
      </c>
    </row>
    <row r="26" spans="1:18" x14ac:dyDescent="0.2">
      <c r="K26" t="s">
        <v>50</v>
      </c>
      <c r="L26">
        <v>555</v>
      </c>
      <c r="M26">
        <v>4.4999999999999998E-2</v>
      </c>
      <c r="N26">
        <f t="shared" ref="N26" si="16">ROUND(L26*M26,2)</f>
        <v>24.98</v>
      </c>
      <c r="O26">
        <v>0.2</v>
      </c>
      <c r="P26">
        <f t="shared" ref="P26" si="17">ROUND(N26*O26,2)</f>
        <v>5</v>
      </c>
      <c r="Q26">
        <v>22</v>
      </c>
    </row>
    <row r="27" spans="1:18" x14ac:dyDescent="0.2">
      <c r="K27" t="s">
        <v>49</v>
      </c>
      <c r="L27">
        <v>1222</v>
      </c>
      <c r="M27">
        <v>4.4999999999999998E-2</v>
      </c>
      <c r="N27">
        <f>ROUND(L27*M27,2)</f>
        <v>54.99</v>
      </c>
      <c r="O27">
        <v>0.2</v>
      </c>
      <c r="P27">
        <f>ROUND(N27*O27,2)</f>
        <v>11</v>
      </c>
      <c r="Q27">
        <v>105</v>
      </c>
    </row>
    <row r="28" spans="1:18" x14ac:dyDescent="0.2">
      <c r="K28" t="s">
        <v>47</v>
      </c>
      <c r="L28">
        <v>333</v>
      </c>
      <c r="M28">
        <v>4.4999999999999998E-2</v>
      </c>
      <c r="N28">
        <f>ROUND(L28*M28,2)</f>
        <v>14.99</v>
      </c>
      <c r="O28">
        <v>0.13</v>
      </c>
      <c r="P28">
        <f>ROUND(N28*O28,2)</f>
        <v>1.95</v>
      </c>
      <c r="Q28">
        <v>10</v>
      </c>
    </row>
    <row r="29" spans="1:18" x14ac:dyDescent="0.2">
      <c r="K29" t="s">
        <v>48</v>
      </c>
      <c r="L29">
        <v>333</v>
      </c>
      <c r="M29">
        <v>4.4999999999999998E-2</v>
      </c>
      <c r="N29">
        <f>ROUND(L29*M29,2)</f>
        <v>14.99</v>
      </c>
      <c r="O29">
        <v>0.13</v>
      </c>
      <c r="P29">
        <f>ROUND(N29*O29,2)</f>
        <v>1.95</v>
      </c>
      <c r="Q29">
        <v>10</v>
      </c>
    </row>
    <row r="30" spans="1:18" x14ac:dyDescent="0.2">
      <c r="K30" t="s">
        <v>52</v>
      </c>
      <c r="L30">
        <v>333</v>
      </c>
      <c r="M30">
        <v>4.4999999999999998E-2</v>
      </c>
      <c r="N30">
        <f>ROUND(L30*M30,2)</f>
        <v>14.99</v>
      </c>
      <c r="O30">
        <v>0.13</v>
      </c>
      <c r="P30">
        <f>ROUND(N30*O30,2)</f>
        <v>1.95</v>
      </c>
      <c r="Q30">
        <v>20</v>
      </c>
    </row>
    <row r="31" spans="1:18" x14ac:dyDescent="0.2">
      <c r="P31">
        <f>SUM(P24:P30)</f>
        <v>29.2</v>
      </c>
      <c r="Q31">
        <f>SUM(Q24:Q30)</f>
        <v>352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1.9、1.10扫街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2026-03-13T06:58:33Z</dcterms:modified>
</cp:coreProperties>
</file>